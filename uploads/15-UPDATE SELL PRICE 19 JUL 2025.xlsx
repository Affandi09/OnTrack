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C\03. Price Change\JUL\"/>
    </mc:Choice>
  </mc:AlternateContent>
  <xr:revisionPtr revIDLastSave="0" documentId="8_{D8721258-EB43-47F2-A4F4-BA085A7F1CBE}" xr6:coauthVersionLast="47" xr6:coauthVersionMax="47" xr10:uidLastSave="{00000000-0000-0000-0000-000000000000}"/>
  <bookViews>
    <workbookView xWindow="-108" yWindow="-108" windowWidth="23256" windowHeight="12456" xr2:uid="{C9AED69C-46BD-4226-9D9E-EB02023CB97A}"/>
  </bookViews>
  <sheets>
    <sheet name="1907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1" l="1"/>
  <c r="L28" i="1"/>
  <c r="K28" i="1"/>
  <c r="P27" i="1"/>
  <c r="L27" i="1"/>
  <c r="K27" i="1"/>
  <c r="P26" i="1"/>
  <c r="L26" i="1"/>
  <c r="K26" i="1"/>
  <c r="P25" i="1"/>
  <c r="L25" i="1"/>
  <c r="K25" i="1"/>
  <c r="P24" i="1"/>
  <c r="L24" i="1"/>
  <c r="K24" i="1"/>
  <c r="P23" i="1"/>
  <c r="L23" i="1"/>
  <c r="K23" i="1"/>
  <c r="P22" i="1"/>
  <c r="L22" i="1"/>
  <c r="K22" i="1"/>
  <c r="P21" i="1"/>
  <c r="L21" i="1"/>
  <c r="K21" i="1"/>
  <c r="P20" i="1"/>
  <c r="L20" i="1"/>
  <c r="K20" i="1"/>
  <c r="P19" i="1"/>
  <c r="L19" i="1"/>
  <c r="K19" i="1"/>
  <c r="P18" i="1"/>
  <c r="L18" i="1"/>
  <c r="K18" i="1"/>
  <c r="P17" i="1"/>
  <c r="L17" i="1"/>
  <c r="K17" i="1"/>
  <c r="P16" i="1"/>
  <c r="L16" i="1"/>
  <c r="K16" i="1"/>
  <c r="P15" i="1"/>
  <c r="L15" i="1"/>
  <c r="K15" i="1"/>
  <c r="P14" i="1"/>
  <c r="L14" i="1"/>
  <c r="K14" i="1"/>
  <c r="P13" i="1"/>
  <c r="L13" i="1"/>
  <c r="K13" i="1"/>
  <c r="P12" i="1"/>
  <c r="L12" i="1"/>
  <c r="K12" i="1"/>
  <c r="P11" i="1"/>
  <c r="L11" i="1"/>
  <c r="K11" i="1"/>
  <c r="P10" i="1"/>
  <c r="L10" i="1"/>
  <c r="K10" i="1"/>
  <c r="P9" i="1"/>
  <c r="K9" i="1"/>
  <c r="H9" i="1"/>
  <c r="L9" i="1" s="1"/>
  <c r="P8" i="1"/>
  <c r="K8" i="1"/>
  <c r="H8" i="1"/>
  <c r="L8" i="1" s="1"/>
  <c r="P7" i="1"/>
  <c r="K7" i="1"/>
  <c r="H7" i="1"/>
  <c r="L7" i="1" s="1"/>
  <c r="P6" i="1"/>
  <c r="K6" i="1"/>
  <c r="H6" i="1"/>
  <c r="L6" i="1" s="1"/>
  <c r="P5" i="1"/>
  <c r="K5" i="1"/>
  <c r="H5" i="1"/>
  <c r="L5" i="1" s="1"/>
</calcChain>
</file>

<file path=xl/sharedStrings.xml><?xml version="1.0" encoding="utf-8"?>
<sst xmlns="http://schemas.openxmlformats.org/spreadsheetml/2006/main" count="114" uniqueCount="53">
  <si>
    <t xml:space="preserve">BERITA ACARA PENGAJUAN PERUBAHAN MASTER HARGA </t>
  </si>
  <si>
    <t>NEW SELL PRICE &amp; COST PRICE</t>
  </si>
  <si>
    <t>VEN CODE</t>
  </si>
  <si>
    <t>VENDOR</t>
  </si>
  <si>
    <t>BARCODE</t>
  </si>
  <si>
    <t>ITEM CODE</t>
  </si>
  <si>
    <t>ITEM NAME</t>
  </si>
  <si>
    <t>UOM</t>
  </si>
  <si>
    <t>HARGA MODAL LAMA</t>
  </si>
  <si>
    <t>HARGA MODAL BARU</t>
  </si>
  <si>
    <t>HARGA JUAL LAMA</t>
  </si>
  <si>
    <t>HARGA JUAL BARU</t>
  </si>
  <si>
    <t>GP LAMA</t>
  </si>
  <si>
    <t>GP BARU</t>
  </si>
  <si>
    <t>EFEKTIF MODAL</t>
  </si>
  <si>
    <t>EFEKTIF HARGA JUAL</t>
  </si>
  <si>
    <t>KOMPETIOR</t>
  </si>
  <si>
    <t>INDEX</t>
  </si>
  <si>
    <t>000176</t>
  </si>
  <si>
    <t>PT SURYA ANUGERAH SENTOSA</t>
  </si>
  <si>
    <t>DELFI MALTITOS MALT CRUNCH 30GR</t>
  </si>
  <si>
    <t>PCS</t>
  </si>
  <si>
    <t>SILVERQUEEN BITES CASH 30 GR</t>
  </si>
  <si>
    <t>SILVERQUEEN BITES DARK 30 GR</t>
  </si>
  <si>
    <t>VAN HOUTEN DARK MILK CHOC 40 GR</t>
  </si>
  <si>
    <t>VAN HOUTEN DARK MILK ALMOND 40 GR</t>
  </si>
  <si>
    <t>000055</t>
  </si>
  <si>
    <t>PT CIPTA MANDIRI PERKASA</t>
  </si>
  <si>
    <t>PRONAS SARDINES CHILLI SAUCE 155GR</t>
  </si>
  <si>
    <t>PRONAS SARDINES TOMAT SAUCE 155GR</t>
  </si>
  <si>
    <t>PRONAS BEEF CORNED 198GR</t>
  </si>
  <si>
    <t>PRONAS BEEF CORNED 340GR</t>
  </si>
  <si>
    <t>PRONAS SAUS TERIYAKI 175G</t>
  </si>
  <si>
    <t>PRONAS BLACK PEPPER SAUCE</t>
  </si>
  <si>
    <t>PRONAS SAUS BARBEQUE 175GR</t>
  </si>
  <si>
    <t>PRONAS ABON DAGING SAPI 100G</t>
  </si>
  <si>
    <t>PRONAS ABON SAPI PEDAS</t>
  </si>
  <si>
    <t>PRONAS KORNETKU CORNED BEEF 200GR</t>
  </si>
  <si>
    <t>PRONAS SARDINES CHILLI SAUCE 425GR</t>
  </si>
  <si>
    <t>MILO ACTIV-GO UHT 110 ML</t>
  </si>
  <si>
    <t>000046</t>
  </si>
  <si>
    <t>PT ASIA SEJAHTERA</t>
  </si>
  <si>
    <t>PANJANG JIWO TIMUN SURI 350ML</t>
  </si>
  <si>
    <t>TEH GELAS PET ORI 350 NEW</t>
  </si>
  <si>
    <t>FORMULA SG FLIP MOBILE ORAL CARE</t>
  </si>
  <si>
    <t>000424</t>
  </si>
  <si>
    <t>PT TARTARUGA DINASTI INDONESIA</t>
  </si>
  <si>
    <t>TARTARUGA CRISPY SEAWEED ORIGINAL 3.2GR</t>
  </si>
  <si>
    <t>TARTARUGA CRISPY SEAWEED BBQ 3.2GR</t>
  </si>
  <si>
    <t>TARTARUGA CRISPY SEAWEED HOT AND SPICY 3.2 GR</t>
  </si>
  <si>
    <t>000314</t>
  </si>
  <si>
    <t>PT SINARMAS DISTRIBUSI NUSANTARA</t>
  </si>
  <si>
    <t>MOLTO PEWANGI BLUE 820ML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</si>
</sst>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0" fillId="0" borderId="0" xfId="1" applyNumberFormat="1" applyFont="1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1" fontId="3" fillId="3" borderId="2" xfId="1" applyNumberFormat="1" applyFont="1" applyFill="1" applyBorder="1" applyAlignment="1">
      <alignment horizontal="center" vertical="center" wrapText="1"/>
    </xf>
    <xf numFmtId="43" fontId="3" fillId="3" borderId="2" xfId="1" applyFont="1" applyFill="1" applyBorder="1" applyAlignment="1">
      <alignment horizontal="center" vertical="center" wrapText="1"/>
    </xf>
    <xf numFmtId="43" fontId="2" fillId="4" borderId="2" xfId="1" applyFont="1" applyFill="1" applyBorder="1" applyAlignment="1">
      <alignment horizontal="center" vertical="center" wrapText="1"/>
    </xf>
    <xf numFmtId="164" fontId="2" fillId="3" borderId="2" xfId="1" applyNumberFormat="1" applyFont="1" applyFill="1" applyBorder="1" applyAlignment="1">
      <alignment horizontal="center" vertical="center" wrapText="1"/>
    </xf>
    <xf numFmtId="164" fontId="3" fillId="4" borderId="2" xfId="1" applyNumberFormat="1" applyFont="1" applyFill="1" applyBorder="1" applyAlignment="1">
      <alignment horizontal="center" vertical="center" wrapText="1"/>
    </xf>
    <xf numFmtId="10" fontId="3" fillId="3" borderId="2" xfId="2" applyNumberFormat="1" applyFont="1" applyFill="1" applyBorder="1" applyAlignment="1">
      <alignment horizontal="center" vertical="center" wrapText="1"/>
    </xf>
    <xf numFmtId="10" fontId="3" fillId="4" borderId="2" xfId="2" applyNumberFormat="1" applyFont="1" applyFill="1" applyBorder="1" applyAlignment="1">
      <alignment horizontal="center" vertical="center" wrapText="1"/>
    </xf>
    <xf numFmtId="164" fontId="3" fillId="3" borderId="2" xfId="1" applyNumberFormat="1" applyFont="1" applyFill="1" applyBorder="1" applyAlignment="1">
      <alignment horizontal="center" vertical="center"/>
    </xf>
    <xf numFmtId="0" fontId="0" fillId="0" borderId="2" xfId="0" applyBorder="1"/>
    <xf numFmtId="1" fontId="0" fillId="0" borderId="2" xfId="0" applyNumberFormat="1" applyBorder="1"/>
    <xf numFmtId="0" fontId="0" fillId="0" borderId="2" xfId="0" applyBorder="1" applyAlignment="1">
      <alignment horizontal="center"/>
    </xf>
    <xf numFmtId="43" fontId="1" fillId="0" borderId="2" xfId="1" applyFont="1" applyBorder="1" applyAlignment="1">
      <alignment horizontal="center"/>
    </xf>
    <xf numFmtId="43" fontId="1" fillId="0" borderId="2" xfId="0" applyNumberFormat="1" applyFont="1" applyBorder="1"/>
    <xf numFmtId="10" fontId="1" fillId="0" borderId="2" xfId="2" applyNumberFormat="1" applyFont="1" applyBorder="1"/>
    <xf numFmtId="14" fontId="1" fillId="0" borderId="2" xfId="0" applyNumberFormat="1" applyFont="1" applyBorder="1"/>
    <xf numFmtId="164" fontId="1" fillId="0" borderId="2" xfId="1" applyNumberFormat="1" applyFont="1" applyBorder="1"/>
    <xf numFmtId="9" fontId="1" fillId="0" borderId="2" xfId="2" applyFont="1" applyBorder="1"/>
    <xf numFmtId="0" fontId="0" fillId="0" borderId="2" xfId="0" applyBorder="1" applyAlignment="1">
      <alignment horizontal="left"/>
    </xf>
    <xf numFmtId="164" fontId="0" fillId="0" borderId="2" xfId="1" applyNumberFormat="1" applyFont="1" applyBorder="1"/>
    <xf numFmtId="0" fontId="0" fillId="0" borderId="2" xfId="0" quotePrefix="1" applyBorder="1"/>
    <xf numFmtId="1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2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F232D-BF17-4992-8B0B-8B306CFD1567}">
  <dimension ref="A1:P28"/>
  <sheetViews>
    <sheetView tabSelected="1" zoomScale="80" zoomScaleNormal="80" workbookViewId="0">
      <selection activeCell="E5" sqref="E5"/>
    </sheetView>
  </sheetViews>
  <sheetFormatPr defaultRowHeight="14.4" x14ac:dyDescent="0.3"/>
  <cols>
    <col min="2" max="2" width="27.21875" bestFit="1" customWidth="1"/>
    <col min="3" max="3" width="14.109375" bestFit="1" customWidth="1"/>
    <col min="4" max="4" width="15.109375" bestFit="1" customWidth="1"/>
    <col min="5" max="5" width="36.5546875" bestFit="1" customWidth="1"/>
    <col min="7" max="7" width="20.44140625" bestFit="1" customWidth="1"/>
    <col min="8" max="8" width="20.109375" bestFit="1" customWidth="1"/>
    <col min="9" max="9" width="18" bestFit="1" customWidth="1"/>
    <col min="10" max="10" width="18.6640625" customWidth="1"/>
    <col min="11" max="12" width="8.88671875" style="25"/>
    <col min="13" max="13" width="14" customWidth="1"/>
    <col min="14" max="14" width="12.33203125" customWidth="1"/>
    <col min="15" max="15" width="15.33203125" style="2" customWidth="1"/>
    <col min="16" max="16" width="10.33203125" bestFit="1" customWidth="1"/>
  </cols>
  <sheetData>
    <row r="1" spans="1:1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P1" s="2"/>
    </row>
    <row r="2" spans="1:16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P2" s="2"/>
    </row>
    <row r="3" spans="1:16" x14ac:dyDescent="0.3">
      <c r="A3" s="4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7</v>
      </c>
      <c r="G3" s="6" t="s">
        <v>8</v>
      </c>
      <c r="H3" s="7" t="s">
        <v>9</v>
      </c>
      <c r="I3" s="8" t="s">
        <v>10</v>
      </c>
      <c r="J3" s="9" t="s">
        <v>11</v>
      </c>
      <c r="K3" s="10" t="s">
        <v>12</v>
      </c>
      <c r="L3" s="11" t="s">
        <v>13</v>
      </c>
      <c r="M3" s="6" t="s">
        <v>14</v>
      </c>
      <c r="N3" s="6" t="s">
        <v>15</v>
      </c>
      <c r="O3" s="12" t="s">
        <v>16</v>
      </c>
      <c r="P3" s="12" t="s">
        <v>17</v>
      </c>
    </row>
    <row r="4" spans="1:16" x14ac:dyDescent="0.3">
      <c r="A4" s="4"/>
      <c r="B4" s="4"/>
      <c r="C4" s="5"/>
      <c r="D4" s="5"/>
      <c r="E4" s="4"/>
      <c r="F4" s="4"/>
      <c r="G4" s="6"/>
      <c r="H4" s="7"/>
      <c r="I4" s="8"/>
      <c r="J4" s="9"/>
      <c r="K4" s="10"/>
      <c r="L4" s="11"/>
      <c r="M4" s="6"/>
      <c r="N4" s="6"/>
      <c r="O4" s="12"/>
      <c r="P4" s="12"/>
    </row>
    <row r="5" spans="1:16" x14ac:dyDescent="0.3">
      <c r="A5" s="13" t="s">
        <v>18</v>
      </c>
      <c r="B5" s="13" t="s">
        <v>19</v>
      </c>
      <c r="C5" s="14">
        <v>8991001503213</v>
      </c>
      <c r="D5" s="14">
        <v>10602627700072</v>
      </c>
      <c r="E5" s="13" t="s">
        <v>20</v>
      </c>
      <c r="F5" s="15" t="s">
        <v>21</v>
      </c>
      <c r="G5" s="16">
        <v>6014</v>
      </c>
      <c r="H5" s="16">
        <f>714960/108</f>
        <v>6620</v>
      </c>
      <c r="I5" s="16">
        <v>8500</v>
      </c>
      <c r="J5" s="17">
        <v>9500</v>
      </c>
      <c r="K5" s="18">
        <f>(I5-(G5*1.11))/I5</f>
        <v>0.21464235294117637</v>
      </c>
      <c r="L5" s="18">
        <f>(J5-(H5*1.11))/J5</f>
        <v>0.22650526315789465</v>
      </c>
      <c r="M5" s="19">
        <v>45857</v>
      </c>
      <c r="N5" s="19">
        <v>45857</v>
      </c>
      <c r="O5" s="20">
        <v>10700</v>
      </c>
      <c r="P5" s="21">
        <f>J5/O5</f>
        <v>0.88785046728971961</v>
      </c>
    </row>
    <row r="6" spans="1:16" x14ac:dyDescent="0.3">
      <c r="A6" s="13" t="s">
        <v>18</v>
      </c>
      <c r="B6" s="13" t="s">
        <v>19</v>
      </c>
      <c r="C6" s="14">
        <v>8991001111609</v>
      </c>
      <c r="D6" s="14">
        <v>10602610900083</v>
      </c>
      <c r="E6" s="13" t="s">
        <v>22</v>
      </c>
      <c r="F6" s="15" t="s">
        <v>21</v>
      </c>
      <c r="G6" s="16">
        <v>6989</v>
      </c>
      <c r="H6" s="16">
        <f>1107072/144</f>
        <v>7688</v>
      </c>
      <c r="I6" s="16">
        <v>9700</v>
      </c>
      <c r="J6" s="17">
        <v>10900</v>
      </c>
      <c r="K6" s="18">
        <f t="shared" ref="K6:L21" si="0">(I6-(G6*1.11))/I6</f>
        <v>0.20022783505154629</v>
      </c>
      <c r="L6" s="18">
        <f t="shared" si="0"/>
        <v>0.21709357798165135</v>
      </c>
      <c r="M6" s="19">
        <v>45857</v>
      </c>
      <c r="N6" s="19">
        <v>45857</v>
      </c>
      <c r="O6" s="20">
        <v>12400</v>
      </c>
      <c r="P6" s="21">
        <f t="shared" ref="P6:P28" si="1">J6/O6</f>
        <v>0.87903225806451613</v>
      </c>
    </row>
    <row r="7" spans="1:16" x14ac:dyDescent="0.3">
      <c r="A7" s="13" t="s">
        <v>18</v>
      </c>
      <c r="B7" s="13" t="s">
        <v>19</v>
      </c>
      <c r="C7" s="14">
        <v>8991001111791</v>
      </c>
      <c r="D7" s="14">
        <v>10602610900084</v>
      </c>
      <c r="E7" s="13" t="s">
        <v>23</v>
      </c>
      <c r="F7" s="15" t="s">
        <v>21</v>
      </c>
      <c r="G7" s="16">
        <v>6989</v>
      </c>
      <c r="H7" s="16">
        <f>1107072/144</f>
        <v>7688</v>
      </c>
      <c r="I7" s="16">
        <v>9700</v>
      </c>
      <c r="J7" s="17">
        <v>10900</v>
      </c>
      <c r="K7" s="18">
        <f t="shared" si="0"/>
        <v>0.20022783505154629</v>
      </c>
      <c r="L7" s="18">
        <f t="shared" si="0"/>
        <v>0.21709357798165135</v>
      </c>
      <c r="M7" s="19">
        <v>45857</v>
      </c>
      <c r="N7" s="19">
        <v>45857</v>
      </c>
      <c r="O7" s="20">
        <v>12400</v>
      </c>
      <c r="P7" s="21">
        <f t="shared" si="1"/>
        <v>0.87903225806451613</v>
      </c>
    </row>
    <row r="8" spans="1:16" x14ac:dyDescent="0.3">
      <c r="A8" s="13" t="s">
        <v>18</v>
      </c>
      <c r="B8" s="13" t="s">
        <v>19</v>
      </c>
      <c r="C8" s="14">
        <v>8991001121172</v>
      </c>
      <c r="D8" s="14">
        <v>10602610900022</v>
      </c>
      <c r="E8" s="22" t="s">
        <v>24</v>
      </c>
      <c r="F8" s="15" t="s">
        <v>21</v>
      </c>
      <c r="G8" s="16">
        <v>11892</v>
      </c>
      <c r="H8" s="16">
        <f>1211200/80</f>
        <v>15140</v>
      </c>
      <c r="I8" s="16">
        <v>16700</v>
      </c>
      <c r="J8" s="17">
        <v>20500</v>
      </c>
      <c r="K8" s="18">
        <f t="shared" si="0"/>
        <v>0.20957365269461073</v>
      </c>
      <c r="L8" s="18">
        <f t="shared" si="0"/>
        <v>0.18022439024390235</v>
      </c>
      <c r="M8" s="19">
        <v>45857</v>
      </c>
      <c r="N8" s="19">
        <v>45857</v>
      </c>
      <c r="O8" s="20">
        <v>20900</v>
      </c>
      <c r="P8" s="21">
        <f t="shared" si="1"/>
        <v>0.98086124401913877</v>
      </c>
    </row>
    <row r="9" spans="1:16" x14ac:dyDescent="0.3">
      <c r="A9" s="13" t="s">
        <v>18</v>
      </c>
      <c r="B9" s="13" t="s">
        <v>19</v>
      </c>
      <c r="C9" s="14">
        <v>8991001121189</v>
      </c>
      <c r="D9" s="14">
        <v>10602610900023</v>
      </c>
      <c r="E9" s="13" t="s">
        <v>25</v>
      </c>
      <c r="F9" s="15" t="s">
        <v>21</v>
      </c>
      <c r="G9" s="16">
        <v>11892</v>
      </c>
      <c r="H9" s="16">
        <f>1211200/80</f>
        <v>15140</v>
      </c>
      <c r="I9" s="16">
        <v>16700</v>
      </c>
      <c r="J9" s="17">
        <v>20500</v>
      </c>
      <c r="K9" s="18">
        <f t="shared" si="0"/>
        <v>0.20957365269461073</v>
      </c>
      <c r="L9" s="18">
        <f t="shared" si="0"/>
        <v>0.18022439024390235</v>
      </c>
      <c r="M9" s="19">
        <v>45857</v>
      </c>
      <c r="N9" s="19">
        <v>45857</v>
      </c>
      <c r="O9" s="20">
        <v>20900</v>
      </c>
      <c r="P9" s="21">
        <f t="shared" si="1"/>
        <v>0.98086124401913877</v>
      </c>
    </row>
    <row r="10" spans="1:16" x14ac:dyDescent="0.3">
      <c r="A10" s="13" t="s">
        <v>26</v>
      </c>
      <c r="B10" s="13" t="s">
        <v>27</v>
      </c>
      <c r="C10" s="14">
        <v>8992804900568</v>
      </c>
      <c r="D10" s="14">
        <v>10601605900005</v>
      </c>
      <c r="E10" s="13" t="s">
        <v>28</v>
      </c>
      <c r="F10" s="15" t="s">
        <v>21</v>
      </c>
      <c r="G10" s="16">
        <v>9118.92</v>
      </c>
      <c r="H10" s="16">
        <v>9119.1711711711705</v>
      </c>
      <c r="I10" s="16">
        <v>12700</v>
      </c>
      <c r="J10" s="17">
        <v>12700</v>
      </c>
      <c r="K10" s="18">
        <f t="shared" si="0"/>
        <v>0.20299203149606296</v>
      </c>
      <c r="L10" s="18">
        <f t="shared" si="0"/>
        <v>0.20297007874015743</v>
      </c>
      <c r="M10" s="19">
        <v>45857</v>
      </c>
      <c r="N10" s="19">
        <v>45857</v>
      </c>
      <c r="O10" s="20">
        <v>13000</v>
      </c>
      <c r="P10" s="21">
        <f t="shared" si="1"/>
        <v>0.97692307692307689</v>
      </c>
    </row>
    <row r="11" spans="1:16" x14ac:dyDescent="0.3">
      <c r="A11" s="13" t="s">
        <v>26</v>
      </c>
      <c r="B11" s="13" t="s">
        <v>27</v>
      </c>
      <c r="C11" s="14">
        <v>8992820115519</v>
      </c>
      <c r="D11" s="14">
        <v>10601605900006</v>
      </c>
      <c r="E11" s="13" t="s">
        <v>29</v>
      </c>
      <c r="F11" s="15" t="s">
        <v>21</v>
      </c>
      <c r="G11" s="16">
        <v>9119.06</v>
      </c>
      <c r="H11" s="16">
        <v>9119.1711711711705</v>
      </c>
      <c r="I11" s="16">
        <v>12700</v>
      </c>
      <c r="J11" s="17">
        <v>12700</v>
      </c>
      <c r="K11" s="18">
        <f t="shared" si="0"/>
        <v>0.20297979527559054</v>
      </c>
      <c r="L11" s="18">
        <f t="shared" si="0"/>
        <v>0.20297007874015743</v>
      </c>
      <c r="M11" s="19">
        <v>45857</v>
      </c>
      <c r="N11" s="19">
        <v>45857</v>
      </c>
      <c r="O11" s="20">
        <v>13000</v>
      </c>
      <c r="P11" s="21">
        <f t="shared" si="1"/>
        <v>0.97692307692307689</v>
      </c>
    </row>
    <row r="12" spans="1:16" x14ac:dyDescent="0.3">
      <c r="A12" s="13" t="s">
        <v>26</v>
      </c>
      <c r="B12" s="13" t="s">
        <v>27</v>
      </c>
      <c r="C12" s="14">
        <v>8992804119816</v>
      </c>
      <c r="D12" s="14">
        <v>10601606000001</v>
      </c>
      <c r="E12" s="13" t="s">
        <v>30</v>
      </c>
      <c r="F12" s="15" t="s">
        <v>21</v>
      </c>
      <c r="G12" s="16">
        <v>19316.22</v>
      </c>
      <c r="H12" s="16">
        <v>19896.415165165163</v>
      </c>
      <c r="I12" s="16">
        <v>25000</v>
      </c>
      <c r="J12" s="17">
        <v>26900</v>
      </c>
      <c r="K12" s="18">
        <f t="shared" si="0"/>
        <v>0.14235983199999988</v>
      </c>
      <c r="L12" s="18">
        <f t="shared" si="0"/>
        <v>0.17899550805452297</v>
      </c>
      <c r="M12" s="19">
        <v>45857</v>
      </c>
      <c r="N12" s="19">
        <v>45857</v>
      </c>
      <c r="O12" s="20">
        <v>27700</v>
      </c>
      <c r="P12" s="21">
        <f t="shared" si="1"/>
        <v>0.97111913357400725</v>
      </c>
    </row>
    <row r="13" spans="1:16" x14ac:dyDescent="0.3">
      <c r="A13" s="13" t="s">
        <v>26</v>
      </c>
      <c r="B13" s="13" t="s">
        <v>27</v>
      </c>
      <c r="C13" s="14">
        <v>8992804113401</v>
      </c>
      <c r="D13" s="14">
        <v>10601606000002</v>
      </c>
      <c r="E13" s="14" t="s">
        <v>31</v>
      </c>
      <c r="F13" s="15" t="s">
        <v>21</v>
      </c>
      <c r="G13" s="16">
        <v>28269.37</v>
      </c>
      <c r="H13" s="16">
        <v>29181.418918918916</v>
      </c>
      <c r="I13" s="16">
        <v>37500</v>
      </c>
      <c r="J13" s="17">
        <v>39900</v>
      </c>
      <c r="K13" s="18">
        <f t="shared" si="0"/>
        <v>0.16322664799999997</v>
      </c>
      <c r="L13" s="18">
        <f t="shared" si="0"/>
        <v>0.1881860902255639</v>
      </c>
      <c r="M13" s="19">
        <v>45857</v>
      </c>
      <c r="N13" s="19">
        <v>45857</v>
      </c>
      <c r="O13" s="20">
        <v>40800</v>
      </c>
      <c r="P13" s="21">
        <f t="shared" si="1"/>
        <v>0.9779411764705882</v>
      </c>
    </row>
    <row r="14" spans="1:16" x14ac:dyDescent="0.3">
      <c r="A14" s="13" t="s">
        <v>26</v>
      </c>
      <c r="B14" s="13" t="s">
        <v>27</v>
      </c>
      <c r="C14" s="14">
        <v>8992804901244</v>
      </c>
      <c r="D14" s="14">
        <v>10601706100003</v>
      </c>
      <c r="E14" s="14" t="s">
        <v>32</v>
      </c>
      <c r="F14" s="15" t="s">
        <v>21</v>
      </c>
      <c r="G14" s="16">
        <v>8621.6200000000008</v>
      </c>
      <c r="H14" s="16">
        <v>8911.899399399399</v>
      </c>
      <c r="I14" s="16">
        <v>12500</v>
      </c>
      <c r="J14" s="17">
        <v>12900</v>
      </c>
      <c r="K14" s="18">
        <f t="shared" si="0"/>
        <v>0.23440014399999987</v>
      </c>
      <c r="L14" s="18">
        <f t="shared" si="0"/>
        <v>0.23316214470284233</v>
      </c>
      <c r="M14" s="19">
        <v>45857</v>
      </c>
      <c r="N14" s="19">
        <v>45857</v>
      </c>
      <c r="O14" s="20">
        <v>14500</v>
      </c>
      <c r="P14" s="21">
        <f t="shared" si="1"/>
        <v>0.8896551724137931</v>
      </c>
    </row>
    <row r="15" spans="1:16" x14ac:dyDescent="0.3">
      <c r="A15" s="13" t="s">
        <v>26</v>
      </c>
      <c r="B15" s="13" t="s">
        <v>27</v>
      </c>
      <c r="C15" s="14">
        <v>8992804901268</v>
      </c>
      <c r="D15" s="14">
        <v>10601706200014</v>
      </c>
      <c r="E15" s="13" t="s">
        <v>33</v>
      </c>
      <c r="F15" s="15" t="s">
        <v>21</v>
      </c>
      <c r="G15" s="16">
        <v>8621.6200000000008</v>
      </c>
      <c r="H15" s="16">
        <v>8911.899399399399</v>
      </c>
      <c r="I15" s="16">
        <v>12500</v>
      </c>
      <c r="J15" s="17">
        <v>12900</v>
      </c>
      <c r="K15" s="18">
        <f t="shared" si="0"/>
        <v>0.23440014399999987</v>
      </c>
      <c r="L15" s="18">
        <f t="shared" si="0"/>
        <v>0.23316214470284233</v>
      </c>
      <c r="M15" s="19">
        <v>45857</v>
      </c>
      <c r="N15" s="19">
        <v>45857</v>
      </c>
      <c r="O15" s="20">
        <v>13390</v>
      </c>
      <c r="P15" s="21">
        <f t="shared" si="1"/>
        <v>0.96340552651232259</v>
      </c>
    </row>
    <row r="16" spans="1:16" x14ac:dyDescent="0.3">
      <c r="A16" s="13" t="s">
        <v>26</v>
      </c>
      <c r="B16" s="13" t="s">
        <v>27</v>
      </c>
      <c r="C16" s="14">
        <v>8992804901251</v>
      </c>
      <c r="D16" s="14">
        <v>10601706200015</v>
      </c>
      <c r="E16" s="13" t="s">
        <v>34</v>
      </c>
      <c r="F16" s="15" t="s">
        <v>21</v>
      </c>
      <c r="G16" s="16">
        <v>8621.6200000000008</v>
      </c>
      <c r="H16" s="16">
        <v>8911.899399399399</v>
      </c>
      <c r="I16" s="16">
        <v>12700</v>
      </c>
      <c r="J16" s="17">
        <v>12900</v>
      </c>
      <c r="K16" s="18">
        <f t="shared" si="0"/>
        <v>0.24645683464566914</v>
      </c>
      <c r="L16" s="18">
        <f t="shared" si="0"/>
        <v>0.23316214470284233</v>
      </c>
      <c r="M16" s="19">
        <v>45857</v>
      </c>
      <c r="N16" s="19">
        <v>45857</v>
      </c>
      <c r="O16" s="20">
        <v>14500</v>
      </c>
      <c r="P16" s="21">
        <f t="shared" si="1"/>
        <v>0.8896551724137931</v>
      </c>
    </row>
    <row r="17" spans="1:16" x14ac:dyDescent="0.3">
      <c r="A17" s="13" t="s">
        <v>26</v>
      </c>
      <c r="B17" s="13" t="s">
        <v>27</v>
      </c>
      <c r="C17" s="14">
        <v>8997021220154</v>
      </c>
      <c r="D17" s="14">
        <v>10602611300012</v>
      </c>
      <c r="E17" s="13" t="s">
        <v>35</v>
      </c>
      <c r="F17" s="15" t="s">
        <v>21</v>
      </c>
      <c r="G17" s="16">
        <v>27191.89</v>
      </c>
      <c r="H17" s="16">
        <v>27191.741741741738</v>
      </c>
      <c r="I17" s="16">
        <v>36900</v>
      </c>
      <c r="J17" s="17">
        <v>36900</v>
      </c>
      <c r="K17" s="18">
        <f t="shared" si="0"/>
        <v>0.18203257723577229</v>
      </c>
      <c r="L17" s="18">
        <f t="shared" si="0"/>
        <v>0.18203703703703708</v>
      </c>
      <c r="M17" s="19">
        <v>45857</v>
      </c>
      <c r="N17" s="19">
        <v>45857</v>
      </c>
      <c r="O17" s="20">
        <v>39000</v>
      </c>
      <c r="P17" s="21">
        <f t="shared" si="1"/>
        <v>0.94615384615384612</v>
      </c>
    </row>
    <row r="18" spans="1:16" x14ac:dyDescent="0.3">
      <c r="A18" s="13" t="s">
        <v>26</v>
      </c>
      <c r="B18" s="13" t="s">
        <v>27</v>
      </c>
      <c r="C18" s="14">
        <v>8997021220161</v>
      </c>
      <c r="D18" s="14">
        <v>10602611300013</v>
      </c>
      <c r="E18" s="22" t="s">
        <v>36</v>
      </c>
      <c r="F18" s="15" t="s">
        <v>21</v>
      </c>
      <c r="G18" s="16">
        <v>27191.89</v>
      </c>
      <c r="H18" s="16">
        <v>27191.741741741738</v>
      </c>
      <c r="I18" s="16">
        <v>34400</v>
      </c>
      <c r="J18" s="17">
        <v>36900</v>
      </c>
      <c r="K18" s="18">
        <f t="shared" si="0"/>
        <v>0.12258727034883715</v>
      </c>
      <c r="L18" s="18">
        <f t="shared" si="0"/>
        <v>0.18203703703703708</v>
      </c>
      <c r="M18" s="19">
        <v>45857</v>
      </c>
      <c r="N18" s="19">
        <v>45857</v>
      </c>
      <c r="O18" s="20">
        <v>43790</v>
      </c>
      <c r="P18" s="21">
        <f t="shared" si="1"/>
        <v>0.84265814112811144</v>
      </c>
    </row>
    <row r="19" spans="1:16" x14ac:dyDescent="0.3">
      <c r="A19" s="13" t="s">
        <v>26</v>
      </c>
      <c r="B19" s="13" t="s">
        <v>27</v>
      </c>
      <c r="C19" s="14">
        <v>8992804900643</v>
      </c>
      <c r="D19" s="14">
        <v>10603729300005</v>
      </c>
      <c r="E19" s="13" t="s">
        <v>37</v>
      </c>
      <c r="F19" s="15" t="s">
        <v>21</v>
      </c>
      <c r="G19" s="16">
        <v>13927.5</v>
      </c>
      <c r="H19" s="16">
        <v>14424.924924924922</v>
      </c>
      <c r="I19" s="16">
        <v>19800</v>
      </c>
      <c r="J19" s="17">
        <v>20500</v>
      </c>
      <c r="K19" s="18">
        <f t="shared" si="0"/>
        <v>0.21921590909090902</v>
      </c>
      <c r="L19" s="18">
        <f t="shared" si="0"/>
        <v>0.21894308943089433</v>
      </c>
      <c r="M19" s="19">
        <v>45857</v>
      </c>
      <c r="N19" s="19">
        <v>45857</v>
      </c>
      <c r="O19" s="20">
        <v>20700</v>
      </c>
      <c r="P19" s="21">
        <f t="shared" si="1"/>
        <v>0.99033816425120769</v>
      </c>
    </row>
    <row r="20" spans="1:16" x14ac:dyDescent="0.3">
      <c r="A20" s="13" t="s">
        <v>26</v>
      </c>
      <c r="B20" s="13" t="s">
        <v>27</v>
      </c>
      <c r="C20" s="14">
        <v>8992804900575</v>
      </c>
      <c r="D20" s="14">
        <v>10603729300006</v>
      </c>
      <c r="E20" s="13" t="s">
        <v>38</v>
      </c>
      <c r="F20" s="15" t="s">
        <v>21</v>
      </c>
      <c r="G20" s="16">
        <v>19089.75</v>
      </c>
      <c r="H20" s="16">
        <v>19067.379879879878</v>
      </c>
      <c r="I20" s="16">
        <v>26800</v>
      </c>
      <c r="J20" s="17">
        <v>26800</v>
      </c>
      <c r="K20" s="18">
        <f t="shared" si="0"/>
        <v>0.20934244402985069</v>
      </c>
      <c r="L20" s="18">
        <f t="shared" si="0"/>
        <v>0.21026896766169151</v>
      </c>
      <c r="M20" s="19">
        <v>45857</v>
      </c>
      <c r="N20" s="19">
        <v>45857</v>
      </c>
      <c r="O20" s="20">
        <v>27500</v>
      </c>
      <c r="P20" s="21">
        <f t="shared" si="1"/>
        <v>0.97454545454545449</v>
      </c>
    </row>
    <row r="21" spans="1:16" x14ac:dyDescent="0.3">
      <c r="A21" s="13" t="s">
        <v>26</v>
      </c>
      <c r="B21" s="13" t="s">
        <v>27</v>
      </c>
      <c r="C21" s="14">
        <v>8992696523081</v>
      </c>
      <c r="D21" s="14">
        <v>10602108700054</v>
      </c>
      <c r="E21" s="13" t="s">
        <v>39</v>
      </c>
      <c r="F21" s="15" t="s">
        <v>21</v>
      </c>
      <c r="G21" s="16">
        <v>2391.64</v>
      </c>
      <c r="H21" s="16">
        <v>2612.8628628628626</v>
      </c>
      <c r="I21" s="16">
        <v>3000</v>
      </c>
      <c r="J21" s="17">
        <v>3500</v>
      </c>
      <c r="K21" s="18">
        <f t="shared" si="0"/>
        <v>0.11509319999999995</v>
      </c>
      <c r="L21" s="18">
        <f t="shared" si="0"/>
        <v>0.17134920634920633</v>
      </c>
      <c r="M21" s="19">
        <v>45857</v>
      </c>
      <c r="N21" s="19">
        <v>45857</v>
      </c>
      <c r="O21" s="20"/>
      <c r="P21" s="21" t="e">
        <f t="shared" si="1"/>
        <v>#DIV/0!</v>
      </c>
    </row>
    <row r="22" spans="1:16" x14ac:dyDescent="0.3">
      <c r="A22" s="13" t="s">
        <v>40</v>
      </c>
      <c r="B22" s="13" t="s">
        <v>41</v>
      </c>
      <c r="C22" s="14">
        <v>8991102027700</v>
      </c>
      <c r="D22" s="14">
        <v>10602409500073</v>
      </c>
      <c r="E22" s="13" t="s">
        <v>42</v>
      </c>
      <c r="F22" s="15" t="s">
        <v>21</v>
      </c>
      <c r="G22" s="16">
        <v>5040</v>
      </c>
      <c r="H22" s="16">
        <v>4200</v>
      </c>
      <c r="I22" s="16">
        <v>6400</v>
      </c>
      <c r="J22" s="17">
        <v>5900</v>
      </c>
      <c r="K22" s="18">
        <f t="shared" ref="K22:L28" si="2">(I22-(G22*1.11))/I22</f>
        <v>0.1258749999999999</v>
      </c>
      <c r="L22" s="18">
        <f t="shared" si="2"/>
        <v>0.20983050847457627</v>
      </c>
      <c r="M22" s="19">
        <v>45857</v>
      </c>
      <c r="N22" s="19">
        <v>45857</v>
      </c>
      <c r="O22" s="20">
        <v>6500</v>
      </c>
      <c r="P22" s="21">
        <f t="shared" si="1"/>
        <v>0.90769230769230769</v>
      </c>
    </row>
    <row r="23" spans="1:16" x14ac:dyDescent="0.3">
      <c r="A23" s="13" t="s">
        <v>40</v>
      </c>
      <c r="B23" s="13" t="s">
        <v>41</v>
      </c>
      <c r="C23" s="14">
        <v>8991102228053</v>
      </c>
      <c r="D23" s="14">
        <v>10602410100068</v>
      </c>
      <c r="E23" s="13" t="s">
        <v>43</v>
      </c>
      <c r="F23" s="15" t="s">
        <v>21</v>
      </c>
      <c r="G23" s="16">
        <v>2339.59</v>
      </c>
      <c r="H23" s="16">
        <v>2382</v>
      </c>
      <c r="I23" s="16">
        <v>3400</v>
      </c>
      <c r="J23" s="17">
        <v>3300</v>
      </c>
      <c r="K23" s="18">
        <f t="shared" si="2"/>
        <v>0.23619267647058811</v>
      </c>
      <c r="L23" s="18">
        <f t="shared" si="2"/>
        <v>0.19878181818181806</v>
      </c>
      <c r="M23" s="19">
        <v>45857</v>
      </c>
      <c r="N23" s="19">
        <v>45857</v>
      </c>
      <c r="O23" s="20">
        <v>3300</v>
      </c>
      <c r="P23" s="21">
        <f t="shared" si="1"/>
        <v>1</v>
      </c>
    </row>
    <row r="24" spans="1:16" x14ac:dyDescent="0.3">
      <c r="A24" s="13" t="s">
        <v>40</v>
      </c>
      <c r="B24" s="13" t="s">
        <v>41</v>
      </c>
      <c r="C24" s="14">
        <v>8991102023603</v>
      </c>
      <c r="D24" s="14">
        <v>10703432200001</v>
      </c>
      <c r="E24" s="13" t="s">
        <v>44</v>
      </c>
      <c r="F24" s="15" t="s">
        <v>21</v>
      </c>
      <c r="G24" s="16">
        <v>10910.81</v>
      </c>
      <c r="H24" s="16">
        <v>10810.81</v>
      </c>
      <c r="I24" s="16">
        <v>16900</v>
      </c>
      <c r="J24" s="17">
        <v>16900</v>
      </c>
      <c r="K24" s="18">
        <f t="shared" si="2"/>
        <v>0.28337283431952659</v>
      </c>
      <c r="L24" s="18">
        <f t="shared" si="2"/>
        <v>0.28994088165680471</v>
      </c>
      <c r="M24" s="19">
        <v>45857</v>
      </c>
      <c r="N24" s="19">
        <v>45857</v>
      </c>
      <c r="O24" s="23">
        <v>18100</v>
      </c>
      <c r="P24" s="21">
        <f t="shared" si="1"/>
        <v>0.93370165745856348</v>
      </c>
    </row>
    <row r="25" spans="1:16" x14ac:dyDescent="0.3">
      <c r="A25" s="13" t="s">
        <v>45</v>
      </c>
      <c r="B25" s="13" t="s">
        <v>46</v>
      </c>
      <c r="C25" s="14">
        <v>8991004031270</v>
      </c>
      <c r="D25" s="14">
        <v>10607827700143</v>
      </c>
      <c r="E25" s="13" t="s">
        <v>47</v>
      </c>
      <c r="F25" s="15" t="s">
        <v>21</v>
      </c>
      <c r="G25" s="16">
        <v>2775</v>
      </c>
      <c r="H25" s="16">
        <v>2500</v>
      </c>
      <c r="I25" s="16">
        <v>3900</v>
      </c>
      <c r="J25" s="17">
        <v>3500</v>
      </c>
      <c r="K25" s="18">
        <f t="shared" si="2"/>
        <v>0.21019230769230757</v>
      </c>
      <c r="L25" s="18">
        <f t="shared" si="2"/>
        <v>0.20714285714285702</v>
      </c>
      <c r="M25" s="19">
        <v>45857</v>
      </c>
      <c r="N25" s="19">
        <v>45857</v>
      </c>
      <c r="O25" s="20"/>
      <c r="P25" s="21" t="e">
        <f t="shared" si="1"/>
        <v>#DIV/0!</v>
      </c>
    </row>
    <row r="26" spans="1:16" x14ac:dyDescent="0.3">
      <c r="A26" s="13" t="s">
        <v>45</v>
      </c>
      <c r="B26" s="13" t="s">
        <v>46</v>
      </c>
      <c r="C26" s="14">
        <v>8991004031294</v>
      </c>
      <c r="D26" s="14">
        <v>10607827700144</v>
      </c>
      <c r="E26" s="13" t="s">
        <v>48</v>
      </c>
      <c r="F26" s="15" t="s">
        <v>21</v>
      </c>
      <c r="G26" s="16">
        <v>2775</v>
      </c>
      <c r="H26" s="16">
        <v>2500</v>
      </c>
      <c r="I26" s="16">
        <v>3900</v>
      </c>
      <c r="J26" s="17">
        <v>3500</v>
      </c>
      <c r="K26" s="18">
        <f t="shared" si="2"/>
        <v>0.21019230769230757</v>
      </c>
      <c r="L26" s="18">
        <f t="shared" si="2"/>
        <v>0.20714285714285702</v>
      </c>
      <c r="M26" s="19">
        <v>45857</v>
      </c>
      <c r="N26" s="19">
        <v>45857</v>
      </c>
      <c r="O26" s="20"/>
      <c r="P26" s="21" t="e">
        <f t="shared" si="1"/>
        <v>#DIV/0!</v>
      </c>
    </row>
    <row r="27" spans="1:16" x14ac:dyDescent="0.3">
      <c r="A27" s="13" t="s">
        <v>45</v>
      </c>
      <c r="B27" s="13" t="s">
        <v>46</v>
      </c>
      <c r="C27" s="14">
        <v>8991004031287</v>
      </c>
      <c r="D27" s="14">
        <v>10607827700145</v>
      </c>
      <c r="E27" s="13" t="s">
        <v>49</v>
      </c>
      <c r="F27" s="15" t="s">
        <v>21</v>
      </c>
      <c r="G27" s="16">
        <v>2775</v>
      </c>
      <c r="H27" s="16">
        <v>2500</v>
      </c>
      <c r="I27" s="16">
        <v>3900</v>
      </c>
      <c r="J27" s="17">
        <v>3500</v>
      </c>
      <c r="K27" s="18">
        <f t="shared" si="2"/>
        <v>0.21019230769230757</v>
      </c>
      <c r="L27" s="18">
        <f t="shared" si="2"/>
        <v>0.20714285714285702</v>
      </c>
      <c r="M27" s="19">
        <v>45857</v>
      </c>
      <c r="N27" s="19">
        <v>45857</v>
      </c>
      <c r="O27" s="20"/>
      <c r="P27" s="21" t="e">
        <f t="shared" si="1"/>
        <v>#DIV/0!</v>
      </c>
    </row>
    <row r="28" spans="1:16" x14ac:dyDescent="0.3">
      <c r="A28" s="24" t="s">
        <v>50</v>
      </c>
      <c r="B28" s="13" t="s">
        <v>51</v>
      </c>
      <c r="C28" s="14">
        <v>8999999571580</v>
      </c>
      <c r="D28" s="14">
        <v>10702711700004</v>
      </c>
      <c r="E28" s="13" t="s">
        <v>52</v>
      </c>
      <c r="F28" s="15" t="s">
        <v>21</v>
      </c>
      <c r="G28" s="16">
        <v>9358.0300000000007</v>
      </c>
      <c r="H28" s="16">
        <v>9471.0210210210207</v>
      </c>
      <c r="I28" s="16">
        <v>12000</v>
      </c>
      <c r="J28" s="17">
        <v>12300</v>
      </c>
      <c r="K28" s="18">
        <f t="shared" si="2"/>
        <v>0.13438222499999983</v>
      </c>
      <c r="L28" s="18">
        <f t="shared" si="2"/>
        <v>0.14529810298102977</v>
      </c>
      <c r="M28" s="19">
        <v>45857</v>
      </c>
      <c r="N28" s="19">
        <v>45857</v>
      </c>
      <c r="O28" s="20">
        <v>12500</v>
      </c>
      <c r="P28" s="21">
        <f t="shared" si="1"/>
        <v>0.98399999999999999</v>
      </c>
    </row>
  </sheetData>
  <mergeCells count="18">
    <mergeCell ref="O3:O4"/>
    <mergeCell ref="P3:P4"/>
    <mergeCell ref="I3:I4"/>
    <mergeCell ref="J3:J4"/>
    <mergeCell ref="K3:K4"/>
    <mergeCell ref="L3:L4"/>
    <mergeCell ref="M3:M4"/>
    <mergeCell ref="N3:N4"/>
    <mergeCell ref="A1:N1"/>
    <mergeCell ref="A2:N2"/>
    <mergeCell ref="A3:A4"/>
    <mergeCell ref="B3:B4"/>
    <mergeCell ref="C3:C4"/>
    <mergeCell ref="D3:D4"/>
    <mergeCell ref="E3:E4"/>
    <mergeCell ref="F3:F4"/>
    <mergeCell ref="G3:G4"/>
    <mergeCell ref="H3:H4"/>
  </mergeCells>
  <conditionalFormatting sqref="C7">
    <cfRule type="duplicateValues" dxfId="199" priority="41"/>
    <cfRule type="duplicateValues" dxfId="198" priority="42"/>
    <cfRule type="duplicateValues" dxfId="197" priority="43"/>
    <cfRule type="duplicateValues" dxfId="196" priority="44"/>
    <cfRule type="duplicateValues" dxfId="195" priority="45"/>
    <cfRule type="duplicateValues" dxfId="194" priority="46"/>
    <cfRule type="duplicateValues" dxfId="193" priority="47"/>
    <cfRule type="duplicateValues" dxfId="192" priority="48"/>
    <cfRule type="duplicateValues" dxfId="191" priority="49"/>
    <cfRule type="duplicateValues" dxfId="190" priority="50"/>
    <cfRule type="duplicateValues" dxfId="189" priority="51"/>
    <cfRule type="duplicateValues" dxfId="188" priority="52"/>
    <cfRule type="duplicateValues" dxfId="187" priority="53"/>
    <cfRule type="duplicateValues" dxfId="186" priority="54"/>
    <cfRule type="duplicateValues" dxfId="185" priority="55"/>
    <cfRule type="duplicateValues" dxfId="184" priority="56"/>
  </conditionalFormatting>
  <conditionalFormatting sqref="C8">
    <cfRule type="duplicateValues" dxfId="183" priority="105"/>
    <cfRule type="duplicateValues" dxfId="182" priority="106"/>
  </conditionalFormatting>
  <conditionalFormatting sqref="C13">
    <cfRule type="duplicateValues" dxfId="181" priority="117"/>
    <cfRule type="duplicateValues" dxfId="180" priority="118"/>
    <cfRule type="duplicateValues" dxfId="179" priority="119"/>
    <cfRule type="duplicateValues" dxfId="178" priority="120"/>
    <cfRule type="duplicateValues" dxfId="177" priority="121"/>
    <cfRule type="duplicateValues" dxfId="176" priority="122"/>
    <cfRule type="duplicateValues" dxfId="175" priority="123"/>
    <cfRule type="duplicateValues" dxfId="174" priority="124"/>
  </conditionalFormatting>
  <conditionalFormatting sqref="C14">
    <cfRule type="duplicateValues" dxfId="173" priority="125"/>
    <cfRule type="duplicateValues" dxfId="172" priority="126"/>
    <cfRule type="duplicateValues" dxfId="171" priority="127"/>
    <cfRule type="duplicateValues" dxfId="170" priority="128"/>
    <cfRule type="duplicateValues" dxfId="169" priority="129"/>
    <cfRule type="duplicateValues" dxfId="168" priority="130"/>
    <cfRule type="duplicateValues" dxfId="167" priority="131"/>
    <cfRule type="duplicateValues" dxfId="166" priority="132"/>
  </conditionalFormatting>
  <conditionalFormatting sqref="C17">
    <cfRule type="duplicateValues" dxfId="165" priority="149"/>
    <cfRule type="duplicateValues" dxfId="164" priority="150"/>
    <cfRule type="duplicateValues" dxfId="163" priority="151"/>
    <cfRule type="duplicateValues" dxfId="162" priority="152"/>
    <cfRule type="duplicateValues" dxfId="161" priority="153"/>
    <cfRule type="duplicateValues" dxfId="160" priority="154"/>
    <cfRule type="duplicateValues" dxfId="159" priority="155"/>
    <cfRule type="duplicateValues" dxfId="158" priority="156"/>
    <cfRule type="duplicateValues" dxfId="157" priority="157"/>
    <cfRule type="duplicateValues" dxfId="156" priority="158"/>
    <cfRule type="duplicateValues" dxfId="155" priority="159"/>
    <cfRule type="duplicateValues" dxfId="154" priority="160"/>
    <cfRule type="duplicateValues" dxfId="153" priority="161"/>
    <cfRule type="duplicateValues" dxfId="152" priority="162"/>
    <cfRule type="duplicateValues" dxfId="151" priority="163"/>
    <cfRule type="duplicateValues" dxfId="150" priority="164"/>
  </conditionalFormatting>
  <conditionalFormatting sqref="C18">
    <cfRule type="duplicateValues" dxfId="149" priority="197"/>
    <cfRule type="duplicateValues" dxfId="148" priority="198"/>
  </conditionalFormatting>
  <conditionalFormatting sqref="D5">
    <cfRule type="duplicateValues" dxfId="147" priority="25"/>
    <cfRule type="duplicateValues" dxfId="146" priority="26"/>
    <cfRule type="duplicateValues" dxfId="145" priority="27"/>
    <cfRule type="duplicateValues" dxfId="144" priority="28"/>
    <cfRule type="duplicateValues" dxfId="143" priority="29"/>
    <cfRule type="duplicateValues" dxfId="142" priority="30"/>
    <cfRule type="duplicateValues" dxfId="141" priority="31"/>
    <cfRule type="duplicateValues" dxfId="140" priority="32"/>
  </conditionalFormatting>
  <conditionalFormatting sqref="D6">
    <cfRule type="duplicateValues" dxfId="139" priority="33"/>
    <cfRule type="duplicateValues" dxfId="138" priority="34"/>
    <cfRule type="duplicateValues" dxfId="137" priority="35"/>
    <cfRule type="duplicateValues" dxfId="136" priority="36"/>
    <cfRule type="duplicateValues" dxfId="135" priority="37"/>
    <cfRule type="duplicateValues" dxfId="134" priority="38"/>
    <cfRule type="duplicateValues" dxfId="133" priority="39"/>
    <cfRule type="duplicateValues" dxfId="132" priority="40"/>
  </conditionalFormatting>
  <conditionalFormatting sqref="D7">
    <cfRule type="duplicateValues" dxfId="131" priority="57"/>
    <cfRule type="duplicateValues" dxfId="130" priority="58"/>
    <cfRule type="duplicateValues" dxfId="129" priority="59"/>
    <cfRule type="duplicateValues" dxfId="128" priority="60"/>
    <cfRule type="duplicateValues" dxfId="127" priority="61"/>
    <cfRule type="duplicateValues" dxfId="126" priority="62"/>
    <cfRule type="duplicateValues" dxfId="125" priority="63"/>
    <cfRule type="duplicateValues" dxfId="124" priority="64"/>
    <cfRule type="duplicateValues" dxfId="123" priority="65"/>
    <cfRule type="duplicateValues" dxfId="122" priority="66"/>
    <cfRule type="duplicateValues" dxfId="121" priority="67"/>
    <cfRule type="duplicateValues" dxfId="120" priority="68"/>
    <cfRule type="duplicateValues" dxfId="119" priority="69"/>
    <cfRule type="duplicateValues" dxfId="118" priority="70"/>
    <cfRule type="duplicateValues" dxfId="117" priority="71"/>
    <cfRule type="duplicateValues" dxfId="116" priority="72"/>
  </conditionalFormatting>
  <conditionalFormatting sqref="D8">
    <cfRule type="duplicateValues" dxfId="115" priority="107"/>
    <cfRule type="duplicateValues" dxfId="114" priority="108"/>
  </conditionalFormatting>
  <conditionalFormatting sqref="D9">
    <cfRule type="duplicateValues" dxfId="113" priority="73"/>
    <cfRule type="duplicateValues" dxfId="112" priority="74"/>
    <cfRule type="duplicateValues" dxfId="111" priority="75"/>
    <cfRule type="duplicateValues" dxfId="110" priority="76"/>
    <cfRule type="duplicateValues" dxfId="109" priority="77"/>
    <cfRule type="duplicateValues" dxfId="108" priority="78"/>
    <cfRule type="duplicateValues" dxfId="107" priority="79"/>
    <cfRule type="duplicateValues" dxfId="106" priority="80"/>
  </conditionalFormatting>
  <conditionalFormatting sqref="D10">
    <cfRule type="duplicateValues" dxfId="105" priority="81"/>
    <cfRule type="duplicateValues" dxfId="104" priority="82"/>
    <cfRule type="duplicateValues" dxfId="103" priority="83"/>
    <cfRule type="duplicateValues" dxfId="102" priority="84"/>
    <cfRule type="duplicateValues" dxfId="101" priority="85"/>
    <cfRule type="duplicateValues" dxfId="100" priority="86"/>
    <cfRule type="duplicateValues" dxfId="99" priority="87"/>
    <cfRule type="duplicateValues" dxfId="98" priority="88"/>
  </conditionalFormatting>
  <conditionalFormatting sqref="D11">
    <cfRule type="duplicateValues" dxfId="97" priority="89"/>
    <cfRule type="duplicateValues" dxfId="96" priority="90"/>
    <cfRule type="duplicateValues" dxfId="95" priority="91"/>
    <cfRule type="duplicateValues" dxfId="94" priority="92"/>
    <cfRule type="duplicateValues" dxfId="93" priority="93"/>
    <cfRule type="duplicateValues" dxfId="92" priority="94"/>
    <cfRule type="duplicateValues" dxfId="91" priority="95"/>
    <cfRule type="duplicateValues" dxfId="90" priority="96"/>
  </conditionalFormatting>
  <conditionalFormatting sqref="D12">
    <cfRule type="duplicateValues" dxfId="89" priority="97"/>
    <cfRule type="duplicateValues" dxfId="88" priority="98"/>
    <cfRule type="duplicateValues" dxfId="87" priority="99"/>
    <cfRule type="duplicateValues" dxfId="86" priority="100"/>
    <cfRule type="duplicateValues" dxfId="85" priority="101"/>
    <cfRule type="duplicateValues" dxfId="84" priority="102"/>
    <cfRule type="duplicateValues" dxfId="83" priority="103"/>
    <cfRule type="duplicateValues" dxfId="82" priority="104"/>
  </conditionalFormatting>
  <conditionalFormatting sqref="D13">
    <cfRule type="duplicateValues" dxfId="81" priority="109"/>
    <cfRule type="duplicateValues" dxfId="80" priority="110"/>
    <cfRule type="duplicateValues" dxfId="79" priority="111"/>
    <cfRule type="duplicateValues" dxfId="78" priority="112"/>
  </conditionalFormatting>
  <conditionalFormatting sqref="D14">
    <cfRule type="duplicateValues" dxfId="77" priority="113"/>
    <cfRule type="duplicateValues" dxfId="76" priority="114"/>
    <cfRule type="duplicateValues" dxfId="75" priority="115"/>
    <cfRule type="duplicateValues" dxfId="74" priority="116"/>
  </conditionalFormatting>
  <conditionalFormatting sqref="D15">
    <cfRule type="duplicateValues" dxfId="73" priority="133"/>
    <cfRule type="duplicateValues" dxfId="72" priority="134"/>
    <cfRule type="duplicateValues" dxfId="71" priority="135"/>
    <cfRule type="duplicateValues" dxfId="70" priority="136"/>
    <cfRule type="duplicateValues" dxfId="69" priority="137"/>
    <cfRule type="duplicateValues" dxfId="68" priority="138"/>
    <cfRule type="duplicateValues" dxfId="67" priority="139"/>
    <cfRule type="duplicateValues" dxfId="66" priority="140"/>
  </conditionalFormatting>
  <conditionalFormatting sqref="D16">
    <cfRule type="duplicateValues" dxfId="65" priority="141"/>
    <cfRule type="duplicateValues" dxfId="64" priority="142"/>
    <cfRule type="duplicateValues" dxfId="63" priority="143"/>
    <cfRule type="duplicateValues" dxfId="62" priority="144"/>
    <cfRule type="duplicateValues" dxfId="61" priority="145"/>
    <cfRule type="duplicateValues" dxfId="60" priority="146"/>
    <cfRule type="duplicateValues" dxfId="59" priority="147"/>
    <cfRule type="duplicateValues" dxfId="58" priority="148"/>
  </conditionalFormatting>
  <conditionalFormatting sqref="D17">
    <cfRule type="duplicateValues" dxfId="57" priority="165"/>
    <cfRule type="duplicateValues" dxfId="56" priority="166"/>
    <cfRule type="duplicateValues" dxfId="55" priority="167"/>
    <cfRule type="duplicateValues" dxfId="54" priority="168"/>
    <cfRule type="duplicateValues" dxfId="53" priority="169"/>
    <cfRule type="duplicateValues" dxfId="52" priority="170"/>
    <cfRule type="duplicateValues" dxfId="51" priority="171"/>
    <cfRule type="duplicateValues" dxfId="50" priority="172"/>
    <cfRule type="duplicateValues" dxfId="49" priority="173"/>
    <cfRule type="duplicateValues" dxfId="48" priority="174"/>
    <cfRule type="duplicateValues" dxfId="47" priority="175"/>
    <cfRule type="duplicateValues" dxfId="46" priority="176"/>
    <cfRule type="duplicateValues" dxfId="45" priority="177"/>
    <cfRule type="duplicateValues" dxfId="44" priority="178"/>
    <cfRule type="duplicateValues" dxfId="43" priority="179"/>
    <cfRule type="duplicateValues" dxfId="42" priority="180"/>
  </conditionalFormatting>
  <conditionalFormatting sqref="D18">
    <cfRule type="duplicateValues" dxfId="41" priority="199"/>
    <cfRule type="duplicateValues" dxfId="40" priority="200"/>
  </conditionalFormatting>
  <conditionalFormatting sqref="D19">
    <cfRule type="duplicateValues" dxfId="39" priority="181"/>
    <cfRule type="duplicateValues" dxfId="38" priority="182"/>
    <cfRule type="duplicateValues" dxfId="37" priority="183"/>
    <cfRule type="duplicateValues" dxfId="36" priority="184"/>
    <cfRule type="duplicateValues" dxfId="35" priority="185"/>
    <cfRule type="duplicateValues" dxfId="34" priority="186"/>
    <cfRule type="duplicateValues" dxfId="33" priority="187"/>
    <cfRule type="duplicateValues" dxfId="32" priority="188"/>
  </conditionalFormatting>
  <conditionalFormatting sqref="D20">
    <cfRule type="duplicateValues" dxfId="31" priority="189"/>
    <cfRule type="duplicateValues" dxfId="30" priority="190"/>
    <cfRule type="duplicateValues" dxfId="29" priority="191"/>
    <cfRule type="duplicateValues" dxfId="28" priority="192"/>
    <cfRule type="duplicateValues" dxfId="27" priority="193"/>
    <cfRule type="duplicateValues" dxfId="26" priority="194"/>
    <cfRule type="duplicateValues" dxfId="25" priority="195"/>
    <cfRule type="duplicateValues" dxfId="24" priority="196"/>
  </conditionalFormatting>
  <conditionalFormatting sqref="D22">
    <cfRule type="duplicateValues" dxfId="23" priority="17"/>
    <cfRule type="duplicateValues" dxfId="22" priority="18"/>
    <cfRule type="duplicateValues" dxfId="21" priority="19"/>
    <cfRule type="duplicateValues" dxfId="20" priority="20"/>
    <cfRule type="duplicateValues" dxfId="19" priority="21"/>
    <cfRule type="duplicateValues" dxfId="18" priority="22"/>
    <cfRule type="duplicateValues" dxfId="17" priority="23"/>
    <cfRule type="duplicateValues" dxfId="16" priority="24"/>
  </conditionalFormatting>
  <conditionalFormatting sqref="D21">
    <cfRule type="duplicateValues" dxfId="15" priority="9"/>
    <cfRule type="duplicateValues" dxfId="14" priority="10"/>
    <cfRule type="duplicateValues" dxfId="13" priority="11"/>
    <cfRule type="duplicateValues" dxfId="12" priority="12"/>
    <cfRule type="duplicateValues" dxfId="11" priority="13"/>
    <cfRule type="duplicateValues" dxfId="10" priority="14"/>
    <cfRule type="duplicateValues" dxfId="9" priority="15"/>
    <cfRule type="duplicateValues" dxfId="8" priority="16"/>
  </conditionalFormatting>
  <conditionalFormatting sqref="D23:D28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190725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Akhir</dc:creator>
  <cp:lastModifiedBy>Arif Akhir</cp:lastModifiedBy>
  <dcterms:created xsi:type="dcterms:W3CDTF">2025-07-18T08:49:30Z</dcterms:created>
  <dcterms:modified xsi:type="dcterms:W3CDTF">2025-07-18T08:51:04Z</dcterms:modified>
</cp:coreProperties>
</file>