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C\03. Price Change\JUL\"/>
    </mc:Choice>
  </mc:AlternateContent>
  <xr:revisionPtr revIDLastSave="0" documentId="8_{F8906686-C801-44C5-B1DD-67D9C5FBB08A}" xr6:coauthVersionLast="47" xr6:coauthVersionMax="47" xr10:uidLastSave="{00000000-0000-0000-0000-000000000000}"/>
  <bookViews>
    <workbookView xWindow="-108" yWindow="-108" windowWidth="23256" windowHeight="12456" xr2:uid="{51157903-3BEC-40F4-A7AD-F81FF39B0080}"/>
  </bookViews>
  <sheets>
    <sheet name="1607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L8" i="1"/>
  <c r="K8" i="1"/>
  <c r="L7" i="1"/>
  <c r="K7" i="1"/>
  <c r="L6" i="1"/>
  <c r="K6" i="1"/>
  <c r="L5" i="1"/>
  <c r="K5" i="1"/>
</calcChain>
</file>

<file path=xl/sharedStrings.xml><?xml version="1.0" encoding="utf-8"?>
<sst xmlns="http://schemas.openxmlformats.org/spreadsheetml/2006/main" count="38" uniqueCount="28">
  <si>
    <t xml:space="preserve">BERITA ACARA PENGAJUAN PERUBAHAN MASTER HARGA </t>
  </si>
  <si>
    <t>NEW SELL PRICE &amp; COST PRICE</t>
  </si>
  <si>
    <t>VEN CODE</t>
  </si>
  <si>
    <t>VENDOR</t>
  </si>
  <si>
    <t>BARCODE</t>
  </si>
  <si>
    <t>ITEM CODE</t>
  </si>
  <si>
    <t>ITEM NAME</t>
  </si>
  <si>
    <t>UOM</t>
  </si>
  <si>
    <t>HARGA MODAL LAMA</t>
  </si>
  <si>
    <t>HARGA MODAL BARU</t>
  </si>
  <si>
    <t>HARGA JUAL LAMA</t>
  </si>
  <si>
    <t>HARGA JUAL BARU</t>
  </si>
  <si>
    <t>GP LAMA</t>
  </si>
  <si>
    <t>GP BARU</t>
  </si>
  <si>
    <t>EFEKTIF MODAL</t>
  </si>
  <si>
    <t>EFEKTIF HARGA JUAL</t>
  </si>
  <si>
    <t>KOMPETIOR</t>
  </si>
  <si>
    <t>INDEX</t>
  </si>
  <si>
    <t>000351</t>
  </si>
  <si>
    <t>PT INTERBUANA MANDIRI</t>
  </si>
  <si>
    <t>NIMS MINI CRISPY CHOCO TUB MINI COCO CRUNCH</t>
  </si>
  <si>
    <t>PCS</t>
  </si>
  <si>
    <t>NIMS MINI CRISPY CHOCO TUB CEREAL DARK  CHOCOLATE</t>
  </si>
  <si>
    <t>NIMS MINI CRISPY CHOCO TUB STARBERRY</t>
  </si>
  <si>
    <t>NIMS MINI CRISPY CHOCO TUB MINI RAINBOW COCO CRUNCH</t>
  </si>
  <si>
    <t>000127</t>
  </si>
  <si>
    <t>SARI ROTI</t>
  </si>
  <si>
    <t>SARI ROTI TAWAR KUPAS JUMBO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</si>
</sst>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2" fillId="4" borderId="2" xfId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3" fillId="4" borderId="2" xfId="1" applyNumberFormat="1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/>
    </xf>
    <xf numFmtId="0" fontId="0" fillId="0" borderId="2" xfId="0" applyBorder="1"/>
    <xf numFmtId="1" fontId="0" fillId="0" borderId="2" xfId="0" applyNumberFormat="1" applyBorder="1"/>
    <xf numFmtId="0" fontId="0" fillId="0" borderId="2" xfId="0" applyBorder="1" applyAlignment="1">
      <alignment horizontal="center"/>
    </xf>
    <xf numFmtId="43" fontId="1" fillId="0" borderId="2" xfId="1" applyFont="1" applyBorder="1" applyAlignment="1">
      <alignment horizontal="center"/>
    </xf>
    <xf numFmtId="164" fontId="1" fillId="0" borderId="2" xfId="1" applyNumberFormat="1" applyFont="1" applyBorder="1"/>
    <xf numFmtId="9" fontId="0" fillId="0" borderId="2" xfId="2" applyFont="1" applyBorder="1"/>
    <xf numFmtId="14" fontId="1" fillId="0" borderId="2" xfId="0" applyNumberFormat="1" applyFont="1" applyBorder="1"/>
    <xf numFmtId="164" fontId="0" fillId="0" borderId="2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0DDB-8AF3-4814-A51C-7311E8194CD8}">
  <dimension ref="A1:P9"/>
  <sheetViews>
    <sheetView tabSelected="1" workbookViewId="0">
      <selection activeCell="D19" sqref="D19"/>
    </sheetView>
  </sheetViews>
  <sheetFormatPr defaultRowHeight="14.4" x14ac:dyDescent="0.3"/>
  <cols>
    <col min="1" max="1" width="9.6640625" bestFit="1" customWidth="1"/>
    <col min="2" max="2" width="22.77734375" bestFit="1" customWidth="1"/>
    <col min="3" max="3" width="14.109375" bestFit="1" customWidth="1"/>
    <col min="4" max="4" width="15.109375" bestFit="1" customWidth="1"/>
    <col min="5" max="5" width="54" bestFit="1" customWidth="1"/>
    <col min="6" max="6" width="5.44140625" bestFit="1" customWidth="1"/>
    <col min="7" max="7" width="20.109375" bestFit="1" customWidth="1"/>
    <col min="8" max="8" width="19.77734375" bestFit="1" customWidth="1"/>
    <col min="9" max="9" width="17.77734375" bestFit="1" customWidth="1"/>
    <col min="10" max="10" width="17.44140625" bestFit="1" customWidth="1"/>
    <col min="11" max="11" width="9.33203125" bestFit="1" customWidth="1"/>
    <col min="12" max="12" width="9" bestFit="1" customWidth="1"/>
    <col min="13" max="13" width="14.88671875" bestFit="1" customWidth="1"/>
    <col min="14" max="14" width="19.109375" bestFit="1" customWidth="1"/>
    <col min="15" max="15" width="12.6640625" bestFit="1" customWidth="1"/>
    <col min="16" max="16" width="7.5546875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</row>
    <row r="3" spans="1:16" x14ac:dyDescent="0.3">
      <c r="A3" s="4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6" t="s">
        <v>8</v>
      </c>
      <c r="H3" s="7" t="s">
        <v>9</v>
      </c>
      <c r="I3" s="8" t="s">
        <v>10</v>
      </c>
      <c r="J3" s="9" t="s">
        <v>11</v>
      </c>
      <c r="K3" s="6" t="s">
        <v>12</v>
      </c>
      <c r="L3" s="10" t="s">
        <v>13</v>
      </c>
      <c r="M3" s="6" t="s">
        <v>14</v>
      </c>
      <c r="N3" s="6" t="s">
        <v>15</v>
      </c>
      <c r="O3" s="11" t="s">
        <v>16</v>
      </c>
      <c r="P3" s="11" t="s">
        <v>17</v>
      </c>
    </row>
    <row r="4" spans="1:16" x14ac:dyDescent="0.3">
      <c r="A4" s="4"/>
      <c r="B4" s="4"/>
      <c r="C4" s="5"/>
      <c r="D4" s="5"/>
      <c r="E4" s="4"/>
      <c r="F4" s="4"/>
      <c r="G4" s="6"/>
      <c r="H4" s="7"/>
      <c r="I4" s="8"/>
      <c r="J4" s="9"/>
      <c r="K4" s="6"/>
      <c r="L4" s="10"/>
      <c r="M4" s="6"/>
      <c r="N4" s="6"/>
      <c r="O4" s="11"/>
      <c r="P4" s="11"/>
    </row>
    <row r="5" spans="1:16" x14ac:dyDescent="0.3">
      <c r="A5" s="12" t="s">
        <v>18</v>
      </c>
      <c r="B5" s="12" t="s">
        <v>19</v>
      </c>
      <c r="C5" s="13">
        <v>9551012350269</v>
      </c>
      <c r="D5" s="13">
        <v>10607827600001</v>
      </c>
      <c r="E5" s="12" t="s">
        <v>20</v>
      </c>
      <c r="F5" s="14" t="s">
        <v>21</v>
      </c>
      <c r="G5" s="15">
        <v>16892</v>
      </c>
      <c r="H5" s="15">
        <v>17478</v>
      </c>
      <c r="I5" s="15">
        <v>21200</v>
      </c>
      <c r="J5" s="16">
        <v>22900</v>
      </c>
      <c r="K5" s="17">
        <f>(I5-(G5*1.11))/I5</f>
        <v>0.11556037735849044</v>
      </c>
      <c r="L5" s="17">
        <f>(J5-(H5*1.11))/J5</f>
        <v>0.15281310043668114</v>
      </c>
      <c r="M5" s="18">
        <v>45854</v>
      </c>
      <c r="N5" s="18">
        <v>45854</v>
      </c>
      <c r="O5" s="19"/>
    </row>
    <row r="6" spans="1:16" x14ac:dyDescent="0.3">
      <c r="A6" s="12" t="s">
        <v>18</v>
      </c>
      <c r="B6" s="12" t="s">
        <v>19</v>
      </c>
      <c r="C6" s="13">
        <v>9551012350283</v>
      </c>
      <c r="D6" s="13">
        <v>10607827600002</v>
      </c>
      <c r="E6" s="12" t="s">
        <v>22</v>
      </c>
      <c r="F6" s="14" t="s">
        <v>21</v>
      </c>
      <c r="G6" s="15">
        <v>16892</v>
      </c>
      <c r="H6" s="15">
        <v>17478</v>
      </c>
      <c r="I6" s="15">
        <v>21200</v>
      </c>
      <c r="J6" s="16">
        <v>22900</v>
      </c>
      <c r="K6" s="17">
        <f t="shared" ref="K6:L9" si="0">(I6-(G6*1.11))/I6</f>
        <v>0.11556037735849044</v>
      </c>
      <c r="L6" s="17">
        <f t="shared" si="0"/>
        <v>0.15281310043668114</v>
      </c>
      <c r="M6" s="18">
        <v>45854</v>
      </c>
      <c r="N6" s="18">
        <v>45854</v>
      </c>
      <c r="O6" s="19"/>
    </row>
    <row r="7" spans="1:16" x14ac:dyDescent="0.3">
      <c r="A7" s="12" t="s">
        <v>18</v>
      </c>
      <c r="B7" s="12" t="s">
        <v>19</v>
      </c>
      <c r="C7" s="13">
        <v>9551012350290</v>
      </c>
      <c r="D7" s="13">
        <v>10607827600003</v>
      </c>
      <c r="E7" s="12" t="s">
        <v>23</v>
      </c>
      <c r="F7" s="14" t="s">
        <v>21</v>
      </c>
      <c r="G7" s="15">
        <v>16892</v>
      </c>
      <c r="H7" s="15">
        <v>17478</v>
      </c>
      <c r="I7" s="15">
        <v>21200</v>
      </c>
      <c r="J7" s="16">
        <v>22900</v>
      </c>
      <c r="K7" s="17">
        <f t="shared" si="0"/>
        <v>0.11556037735849044</v>
      </c>
      <c r="L7" s="17">
        <f t="shared" si="0"/>
        <v>0.15281310043668114</v>
      </c>
      <c r="M7" s="18">
        <v>45854</v>
      </c>
      <c r="N7" s="18">
        <v>45854</v>
      </c>
      <c r="O7" s="19"/>
    </row>
    <row r="8" spans="1:16" x14ac:dyDescent="0.3">
      <c r="A8" s="12" t="s">
        <v>18</v>
      </c>
      <c r="B8" s="13" t="s">
        <v>19</v>
      </c>
      <c r="C8" s="13">
        <v>9551012350276</v>
      </c>
      <c r="D8" s="13">
        <v>10607827600004</v>
      </c>
      <c r="E8" s="13" t="s">
        <v>24</v>
      </c>
      <c r="F8" s="14" t="s">
        <v>21</v>
      </c>
      <c r="G8" s="15">
        <v>16892</v>
      </c>
      <c r="H8" s="15">
        <v>17478</v>
      </c>
      <c r="I8" s="15">
        <v>21200</v>
      </c>
      <c r="J8" s="16">
        <v>22900</v>
      </c>
      <c r="K8" s="17">
        <f t="shared" si="0"/>
        <v>0.11556037735849044</v>
      </c>
      <c r="L8" s="17">
        <f t="shared" si="0"/>
        <v>0.15281310043668114</v>
      </c>
      <c r="M8" s="18">
        <v>45854</v>
      </c>
      <c r="N8" s="18">
        <v>45854</v>
      </c>
      <c r="O8" s="19"/>
    </row>
    <row r="9" spans="1:16" x14ac:dyDescent="0.3">
      <c r="A9" s="12" t="s">
        <v>25</v>
      </c>
      <c r="B9" s="13" t="s">
        <v>26</v>
      </c>
      <c r="C9" s="13">
        <v>8992907953287</v>
      </c>
      <c r="D9" s="13">
        <v>10501103800055</v>
      </c>
      <c r="E9" s="13" t="s">
        <v>27</v>
      </c>
      <c r="F9" s="14" t="s">
        <v>21</v>
      </c>
      <c r="G9" s="15">
        <v>16621.62</v>
      </c>
      <c r="H9" s="15">
        <v>17027.027027027027</v>
      </c>
      <c r="I9" s="15">
        <v>20500</v>
      </c>
      <c r="J9" s="16">
        <v>21000</v>
      </c>
      <c r="K9" s="17">
        <f t="shared" si="0"/>
        <v>0.10000008780487796</v>
      </c>
      <c r="L9" s="17">
        <f t="shared" si="0"/>
        <v>0.1</v>
      </c>
      <c r="M9" s="18">
        <v>45854</v>
      </c>
      <c r="N9" s="18">
        <v>45854</v>
      </c>
      <c r="O9" s="19"/>
    </row>
  </sheetData>
  <mergeCells count="18">
    <mergeCell ref="O3:O4"/>
    <mergeCell ref="P3:P4"/>
    <mergeCell ref="I3:I4"/>
    <mergeCell ref="J3:J4"/>
    <mergeCell ref="K3:K4"/>
    <mergeCell ref="L3:L4"/>
    <mergeCell ref="M3:M4"/>
    <mergeCell ref="N3:N4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</mergeCells>
  <conditionalFormatting sqref="B5">
    <cfRule type="duplicateValues" dxfId="67" priority="5"/>
    <cfRule type="duplicateValues" dxfId="66" priority="6"/>
    <cfRule type="duplicateValues" dxfId="65" priority="7"/>
    <cfRule type="duplicateValues" dxfId="64" priority="8"/>
  </conditionalFormatting>
  <conditionalFormatting sqref="B6">
    <cfRule type="duplicateValues" dxfId="63" priority="17"/>
    <cfRule type="duplicateValues" dxfId="62" priority="18"/>
    <cfRule type="duplicateValues" dxfId="61" priority="19"/>
    <cfRule type="duplicateValues" dxfId="60" priority="20"/>
  </conditionalFormatting>
  <conditionalFormatting sqref="B7">
    <cfRule type="duplicateValues" dxfId="59" priority="29"/>
    <cfRule type="duplicateValues" dxfId="58" priority="30"/>
    <cfRule type="duplicateValues" dxfId="57" priority="31"/>
    <cfRule type="duplicateValues" dxfId="56" priority="32"/>
  </conditionalFormatting>
  <conditionalFormatting sqref="B8">
    <cfRule type="duplicateValues" dxfId="55" priority="61"/>
    <cfRule type="duplicateValues" dxfId="54" priority="62"/>
    <cfRule type="duplicateValues" dxfId="53" priority="63"/>
    <cfRule type="duplicateValues" dxfId="52" priority="64"/>
  </conditionalFormatting>
  <conditionalFormatting sqref="B9">
    <cfRule type="duplicateValues" dxfId="51" priority="65"/>
    <cfRule type="duplicateValues" dxfId="50" priority="66"/>
    <cfRule type="duplicateValues" dxfId="49" priority="67"/>
    <cfRule type="duplicateValues" dxfId="48" priority="68"/>
  </conditionalFormatting>
  <conditionalFormatting sqref="C8">
    <cfRule type="duplicateValues" dxfId="47" priority="45"/>
    <cfRule type="duplicateValues" dxfId="46" priority="46"/>
    <cfRule type="duplicateValues" dxfId="45" priority="47"/>
    <cfRule type="duplicateValues" dxfId="44" priority="48"/>
    <cfRule type="duplicateValues" dxfId="43" priority="49"/>
    <cfRule type="duplicateValues" dxfId="42" priority="50"/>
    <cfRule type="duplicateValues" dxfId="41" priority="51"/>
    <cfRule type="duplicateValues" dxfId="40" priority="52"/>
  </conditionalFormatting>
  <conditionalFormatting sqref="C9">
    <cfRule type="duplicateValues" dxfId="39" priority="53"/>
    <cfRule type="duplicateValues" dxfId="38" priority="54"/>
    <cfRule type="duplicateValues" dxfId="37" priority="55"/>
    <cfRule type="duplicateValues" dxfId="36" priority="56"/>
    <cfRule type="duplicateValues" dxfId="35" priority="57"/>
    <cfRule type="duplicateValues" dxfId="34" priority="58"/>
    <cfRule type="duplicateValues" dxfId="33" priority="59"/>
    <cfRule type="duplicateValues" dxfId="32" priority="60"/>
  </conditionalFormatting>
  <conditionalFormatting sqref="D5">
    <cfRule type="duplicateValues" dxfId="31" priority="1"/>
    <cfRule type="duplicateValues" dxfId="30" priority="2"/>
    <cfRule type="duplicateValues" dxfId="29" priority="3"/>
    <cfRule type="duplicateValues" dxfId="28" priority="4"/>
    <cfRule type="duplicateValues" dxfId="27" priority="9"/>
    <cfRule type="duplicateValues" dxfId="26" priority="10"/>
    <cfRule type="duplicateValues" dxfId="25" priority="11"/>
    <cfRule type="duplicateValues" dxfId="24" priority="12"/>
  </conditionalFormatting>
  <conditionalFormatting sqref="D6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21"/>
    <cfRule type="duplicateValues" dxfId="18" priority="22"/>
    <cfRule type="duplicateValues" dxfId="17" priority="23"/>
    <cfRule type="duplicateValues" dxfId="16" priority="24"/>
  </conditionalFormatting>
  <conditionalFormatting sqref="D7">
    <cfRule type="duplicateValues" dxfId="15" priority="25"/>
    <cfRule type="duplicateValues" dxfId="14" priority="26"/>
    <cfRule type="duplicateValues" dxfId="13" priority="27"/>
    <cfRule type="duplicateValues" dxfId="12" priority="28"/>
    <cfRule type="duplicateValues" dxfId="11" priority="33"/>
    <cfRule type="duplicateValues" dxfId="10" priority="34"/>
    <cfRule type="duplicateValues" dxfId="9" priority="35"/>
    <cfRule type="duplicateValues" dxfId="8" priority="36"/>
  </conditionalFormatting>
  <conditionalFormatting sqref="D8">
    <cfRule type="duplicateValues" dxfId="7" priority="37"/>
    <cfRule type="duplicateValues" dxfId="6" priority="38"/>
    <cfRule type="duplicateValues" dxfId="5" priority="39"/>
    <cfRule type="duplicateValues" dxfId="4" priority="40"/>
  </conditionalFormatting>
  <conditionalFormatting sqref="D9">
    <cfRule type="duplicateValues" dxfId="3" priority="41"/>
    <cfRule type="duplicateValues" dxfId="2" priority="42"/>
    <cfRule type="duplicateValues" dxfId="1" priority="43"/>
    <cfRule type="duplicateValues" dxfId="0" priority="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Akhir</dc:creator>
  <cp:lastModifiedBy>Arif Akhir</cp:lastModifiedBy>
  <dcterms:created xsi:type="dcterms:W3CDTF">2025-07-15T06:43:02Z</dcterms:created>
  <dcterms:modified xsi:type="dcterms:W3CDTF">2025-07-15T06:44:35Z</dcterms:modified>
</cp:coreProperties>
</file>